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箱线图+组内显著性+组内线性回归分析趋势性P值\"/>
    </mc:Choice>
  </mc:AlternateContent>
  <xr:revisionPtr revIDLastSave="0" documentId="13_ncr:1_{F3A20CAF-5481-4E59-8F90-7AEC918EB0B0}" xr6:coauthVersionLast="47" xr6:coauthVersionMax="47" xr10:uidLastSave="{00000000-0000-0000-0000-000000000000}"/>
  <bookViews>
    <workbookView xWindow="2868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F43" i="1"/>
  <c r="F44" i="1"/>
  <c r="F45" i="1"/>
  <c r="F46" i="1"/>
  <c r="F47" i="1"/>
  <c r="F48" i="1"/>
  <c r="F49" i="1"/>
  <c r="F50" i="1"/>
  <c r="F51" i="1"/>
  <c r="F41" i="1"/>
  <c r="F33" i="1"/>
  <c r="F34" i="1"/>
  <c r="F35" i="1"/>
  <c r="F36" i="1"/>
  <c r="F37" i="1"/>
  <c r="F38" i="1"/>
  <c r="F39" i="1"/>
  <c r="F40" i="1"/>
  <c r="F32" i="1"/>
  <c r="F23" i="1"/>
  <c r="F24" i="1"/>
  <c r="F25" i="1"/>
  <c r="F26" i="1"/>
  <c r="F27" i="1"/>
  <c r="F28" i="1"/>
  <c r="F29" i="1"/>
  <c r="F30" i="1"/>
  <c r="F31" i="1"/>
  <c r="F22" i="1"/>
  <c r="F13" i="1"/>
  <c r="F14" i="1"/>
  <c r="F15" i="1"/>
  <c r="F16" i="1"/>
  <c r="F17" i="1"/>
  <c r="F18" i="1"/>
  <c r="F19" i="1"/>
  <c r="F20" i="1"/>
  <c r="F21" i="1"/>
  <c r="F12" i="1"/>
  <c r="F3" i="1"/>
  <c r="F4" i="1"/>
  <c r="F5" i="1"/>
  <c r="F6" i="1"/>
  <c r="F7" i="1"/>
  <c r="F8" i="1"/>
  <c r="F9" i="1"/>
  <c r="F10" i="1"/>
  <c r="F11" i="1"/>
  <c r="F2" i="1"/>
  <c r="E42" i="1"/>
  <c r="E43" i="1"/>
  <c r="E44" i="1"/>
  <c r="E45" i="1"/>
  <c r="E46" i="1"/>
  <c r="E47" i="1"/>
  <c r="E48" i="1"/>
  <c r="E49" i="1"/>
  <c r="E50" i="1"/>
  <c r="E51" i="1"/>
  <c r="E41" i="1"/>
  <c r="E33" i="1"/>
  <c r="E34" i="1"/>
  <c r="E35" i="1"/>
  <c r="E36" i="1"/>
  <c r="E37" i="1"/>
  <c r="E38" i="1"/>
  <c r="E39" i="1"/>
  <c r="E40" i="1"/>
  <c r="E32" i="1"/>
  <c r="E23" i="1"/>
  <c r="E24" i="1"/>
  <c r="E25" i="1"/>
  <c r="E26" i="1"/>
  <c r="E27" i="1"/>
  <c r="E28" i="1"/>
  <c r="E29" i="1"/>
  <c r="E30" i="1"/>
  <c r="E31" i="1"/>
  <c r="E22" i="1"/>
  <c r="E13" i="1"/>
  <c r="E14" i="1"/>
  <c r="E15" i="1"/>
  <c r="E16" i="1"/>
  <c r="E17" i="1"/>
  <c r="E18" i="1"/>
  <c r="E19" i="1"/>
  <c r="E20" i="1"/>
  <c r="E21" i="1"/>
  <c r="E12" i="1"/>
  <c r="E3" i="1"/>
  <c r="E4" i="1"/>
  <c r="E5" i="1"/>
  <c r="E6" i="1"/>
  <c r="E7" i="1"/>
  <c r="E8" i="1"/>
  <c r="E9" i="1"/>
  <c r="E10" i="1"/>
  <c r="E1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42" i="1"/>
  <c r="C43" i="1"/>
  <c r="C44" i="1"/>
  <c r="C45" i="1"/>
  <c r="C46" i="1"/>
  <c r="C47" i="1"/>
  <c r="C48" i="1"/>
  <c r="C49" i="1"/>
  <c r="C50" i="1"/>
  <c r="C51" i="1"/>
  <c r="C41" i="1"/>
  <c r="C33" i="1"/>
  <c r="C34" i="1"/>
  <c r="C35" i="1"/>
  <c r="C36" i="1"/>
  <c r="C37" i="1"/>
  <c r="C38" i="1"/>
  <c r="C39" i="1"/>
  <c r="C40" i="1"/>
  <c r="C32" i="1"/>
  <c r="C31" i="1"/>
  <c r="C23" i="1"/>
  <c r="C24" i="1"/>
  <c r="C25" i="1"/>
  <c r="C26" i="1"/>
  <c r="C27" i="1"/>
  <c r="C28" i="1"/>
  <c r="C29" i="1"/>
  <c r="C30" i="1"/>
  <c r="C22" i="1"/>
  <c r="C21" i="1"/>
  <c r="C13" i="1"/>
  <c r="C14" i="1"/>
  <c r="C15" i="1"/>
  <c r="C16" i="1"/>
  <c r="C17" i="1"/>
  <c r="C18" i="1"/>
  <c r="C19" i="1"/>
  <c r="C20" i="1"/>
  <c r="C1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<sst xmlns="http://schemas.openxmlformats.org/spreadsheetml/2006/main" count="106" uniqueCount="62">
  <si>
    <t>sample</t>
    <phoneticPr fontId="1" type="noConversion"/>
  </si>
  <si>
    <t>sample01</t>
    <phoneticPr fontId="1" type="noConversion"/>
  </si>
  <si>
    <t>sample02</t>
  </si>
  <si>
    <t>sample03</t>
  </si>
  <si>
    <t>sample04</t>
  </si>
  <si>
    <t>sample05</t>
  </si>
  <si>
    <t>sample06</t>
  </si>
  <si>
    <t>sample07</t>
  </si>
  <si>
    <t>sample08</t>
  </si>
  <si>
    <t>sample09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</si>
  <si>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</si>
  <si>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</si>
  <si>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</si>
  <si>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</si>
  <si>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</si>
  <si>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</si>
  <si>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</si>
  <si>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</si>
  <si>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</si>
  <si>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</si>
  <si>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</si>
  <si>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</si>
  <si>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</si>
  <si>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</si>
  <si>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</si>
  <si>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</si>
  <si>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</si>
  <si>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</si>
  <si>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</si>
  <si>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</si>
  <si>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</si>
  <si>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</si>
  <si>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</si>
  <si>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</si>
  <si>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</si>
  <si>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</si>
  <si>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</si>
  <si>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</si>
  <si>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</si>
  <si>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</si>
  <si>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</si>
  <si>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</si>
  <si>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</si>
  <si>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</si>
  <si>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</si>
  <si>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</si>
  <si>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</si>
  <si>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</si>
  <si>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</si>
  <si>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</si>
  <si>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</si>
  <si>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ACE</t>
    <phoneticPr fontId="1" type="noConversion"/>
  </si>
  <si>
    <t>Chao</t>
    <phoneticPr fontId="1" type="noConversion"/>
  </si>
  <si>
    <t>Shannon</t>
    <phoneticPr fontId="1" type="noConversion"/>
  </si>
  <si>
    <t>Simpson</t>
    <phoneticPr fontId="1" type="noConversion"/>
  </si>
  <si>
    <t>period1</t>
  </si>
  <si>
    <t>period2</t>
  </si>
  <si>
    <t>period3</t>
  </si>
  <si>
    <t>period4</t>
  </si>
  <si>
    <t>period5</t>
  </si>
  <si>
    <t>Period</t>
    <phoneticPr fontId="1" type="noConversion"/>
  </si>
  <si>
    <t>period4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</si>
</sst>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4" workbookViewId="0">
      <selection activeCell="B41" sqref="B41"/>
    </sheetView>
  </sheetViews>
  <sheetFormatPr defaultRowHeight="13.8" x14ac:dyDescent="0.25"/>
  <cols>
    <col min="1" max="2" width="13.109375" customWidth="1"/>
  </cols>
  <sheetData>
    <row r="1" spans="1:6" x14ac:dyDescent="0.25">
      <c r="A1" t="s">
        <v>0</v>
      </c>
      <c r="B1" t="s">
        <v>60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 t="s">
        <v>1</v>
      </c>
      <c r="B2" t="s">
        <v>55</v>
      </c>
      <c r="C2">
        <f ca="1">RANDBETWEEN(1000,2500)</f>
        <v>2342</v>
      </c>
      <c r="D2">
        <f ca="1">RANDBETWEEN(1000,2500)</f>
        <v>1371</v>
      </c>
      <c r="E2">
        <f ca="1">RAND()*2+0.5</f>
        <v>0.69877944296134165</v>
      </c>
      <c r="F2">
        <f ca="1">RAND()*2+3</f>
        <v>3.0538042329446284</v>
      </c>
    </row>
    <row r="3" spans="1:6" x14ac:dyDescent="0.25">
      <c r="A3" t="s">
        <v>2</v>
      </c>
      <c r="B3" t="s">
        <v>55</v>
      </c>
      <c r="C3">
        <f t="shared" ref="C3:D11" ca="1" si="0">RANDBETWEEN(1000,2500)</f>
        <v>1822</v>
      </c>
      <c r="D3">
        <f t="shared" ca="1" si="0"/>
        <v>2040</v>
      </c>
      <c r="E3">
        <f t="shared" ref="E3:E11" ca="1" si="1">RAND()*2+0.5</f>
        <v>0.90543468284121476</v>
      </c>
      <c r="F3">
        <f t="shared" ref="F3:F11" ca="1" si="2">RAND()*2+3</f>
        <v>4.3563322766238795</v>
      </c>
    </row>
    <row r="4" spans="1:6" x14ac:dyDescent="0.25">
      <c r="A4" t="s">
        <v>3</v>
      </c>
      <c r="B4" t="s">
        <v>55</v>
      </c>
      <c r="C4">
        <f t="shared" ca="1" si="0"/>
        <v>2394</v>
      </c>
      <c r="D4">
        <f t="shared" ca="1" si="0"/>
        <v>1734</v>
      </c>
      <c r="E4">
        <f t="shared" ca="1" si="1"/>
        <v>2.2566467043647824</v>
      </c>
      <c r="F4">
        <f t="shared" ca="1" si="2"/>
        <v>4.2291952988849673</v>
      </c>
    </row>
    <row r="5" spans="1:6" x14ac:dyDescent="0.25">
      <c r="A5" t="s">
        <v>4</v>
      </c>
      <c r="B5" t="s">
        <v>55</v>
      </c>
      <c r="C5">
        <f t="shared" ca="1" si="0"/>
        <v>1603</v>
      </c>
      <c r="D5">
        <f t="shared" ca="1" si="0"/>
        <v>1116</v>
      </c>
      <c r="E5">
        <f t="shared" ca="1" si="1"/>
        <v>1.6989048241258944</v>
      </c>
      <c r="F5">
        <f t="shared" ca="1" si="2"/>
        <v>3.9700724549363229</v>
      </c>
    </row>
    <row r="6" spans="1:6" x14ac:dyDescent="0.25">
      <c r="A6" t="s">
        <v>5</v>
      </c>
      <c r="B6" t="s">
        <v>55</v>
      </c>
      <c r="C6">
        <f t="shared" ca="1" si="0"/>
        <v>1431</v>
      </c>
      <c r="D6">
        <f t="shared" ca="1" si="0"/>
        <v>1257</v>
      </c>
      <c r="E6">
        <f t="shared" ca="1" si="1"/>
        <v>1.5102336870119666</v>
      </c>
      <c r="F6">
        <f t="shared" ca="1" si="2"/>
        <v>3.4107467333638741</v>
      </c>
    </row>
    <row r="7" spans="1:6" x14ac:dyDescent="0.25">
      <c r="A7" t="s">
        <v>6</v>
      </c>
      <c r="B7" t="s">
        <v>55</v>
      </c>
      <c r="C7">
        <f t="shared" ca="1" si="0"/>
        <v>1702</v>
      </c>
      <c r="D7">
        <f t="shared" ca="1" si="0"/>
        <v>1373</v>
      </c>
      <c r="E7">
        <f t="shared" ca="1" si="1"/>
        <v>2.4133711258850932</v>
      </c>
      <c r="F7">
        <f t="shared" ca="1" si="2"/>
        <v>3.5732079650831503</v>
      </c>
    </row>
    <row r="8" spans="1:6" x14ac:dyDescent="0.25">
      <c r="A8" t="s">
        <v>7</v>
      </c>
      <c r="B8" t="s">
        <v>55</v>
      </c>
      <c r="C8">
        <f t="shared" ca="1" si="0"/>
        <v>2386</v>
      </c>
      <c r="D8">
        <f t="shared" ca="1" si="0"/>
        <v>1338</v>
      </c>
      <c r="E8">
        <f t="shared" ca="1" si="1"/>
        <v>2.3793369695870563</v>
      </c>
      <c r="F8">
        <f t="shared" ca="1" si="2"/>
        <v>3.5447160193201652</v>
      </c>
    </row>
    <row r="9" spans="1:6" x14ac:dyDescent="0.25">
      <c r="A9" t="s">
        <v>8</v>
      </c>
      <c r="B9" t="s">
        <v>55</v>
      </c>
      <c r="C9">
        <f t="shared" ca="1" si="0"/>
        <v>2037</v>
      </c>
      <c r="D9">
        <f t="shared" ca="1" si="0"/>
        <v>1981</v>
      </c>
      <c r="E9">
        <f t="shared" ca="1" si="1"/>
        <v>0.76647289521077577</v>
      </c>
      <c r="F9">
        <f t="shared" ca="1" si="2"/>
        <v>3.1052606741245374</v>
      </c>
    </row>
    <row r="10" spans="1:6" x14ac:dyDescent="0.25">
      <c r="A10" t="s">
        <v>9</v>
      </c>
      <c r="B10" t="s">
        <v>55</v>
      </c>
      <c r="C10">
        <f t="shared" ca="1" si="0"/>
        <v>1580</v>
      </c>
      <c r="D10">
        <f t="shared" ca="1" si="0"/>
        <v>1806</v>
      </c>
      <c r="E10">
        <f t="shared" ca="1" si="1"/>
        <v>1.548063263272369</v>
      </c>
      <c r="F10">
        <f t="shared" ca="1" si="2"/>
        <v>4.4978901213319045</v>
      </c>
    </row>
    <row r="11" spans="1:6" x14ac:dyDescent="0.25">
      <c r="A11" t="s">
        <v>10</v>
      </c>
      <c r="B11" t="s">
        <v>55</v>
      </c>
      <c r="C11">
        <f t="shared" ca="1" si="0"/>
        <v>1590</v>
      </c>
      <c r="D11">
        <f t="shared" ca="1" si="0"/>
        <v>1278</v>
      </c>
      <c r="E11">
        <f t="shared" ca="1" si="1"/>
        <v>1.4718222231490925</v>
      </c>
      <c r="F11">
        <f t="shared" ca="1" si="2"/>
        <v>3.8097661114723347</v>
      </c>
    </row>
    <row r="12" spans="1:6" x14ac:dyDescent="0.25">
      <c r="A12" t="s">
        <v>11</v>
      </c>
      <c r="B12" t="s">
        <v>56</v>
      </c>
      <c r="C12">
        <f ca="1">RANDBETWEEN(1500,3000)</f>
        <v>2260</v>
      </c>
      <c r="D12">
        <f ca="1">RANDBETWEEN(1500,3000)</f>
        <v>1687</v>
      </c>
      <c r="E12">
        <f ca="1">RAND()*2+1</f>
        <v>1.2712300659887961</v>
      </c>
      <c r="F12">
        <f ca="1">RAND()*2+2.5</f>
        <v>3.0523881793322598</v>
      </c>
    </row>
    <row r="13" spans="1:6" x14ac:dyDescent="0.25">
      <c r="A13" t="s">
        <v>12</v>
      </c>
      <c r="B13" t="s">
        <v>56</v>
      </c>
      <c r="C13">
        <f t="shared" ref="C13:D20" ca="1" si="3">RANDBETWEEN(1500,3000)</f>
        <v>2325</v>
      </c>
      <c r="D13">
        <f t="shared" ca="1" si="3"/>
        <v>2223</v>
      </c>
      <c r="E13">
        <f t="shared" ref="E13:E21" ca="1" si="4">RAND()*2+1</f>
        <v>2.1278138341029411</v>
      </c>
      <c r="F13">
        <f t="shared" ref="F13:F21" ca="1" si="5">RAND()*2+2.5</f>
        <v>3.5009698108966711</v>
      </c>
    </row>
    <row r="14" spans="1:6" x14ac:dyDescent="0.25">
      <c r="A14" t="s">
        <v>13</v>
      </c>
      <c r="B14" t="s">
        <v>56</v>
      </c>
      <c r="C14">
        <f t="shared" ca="1" si="3"/>
        <v>2358</v>
      </c>
      <c r="D14">
        <f t="shared" ca="1" si="3"/>
        <v>1814</v>
      </c>
      <c r="E14">
        <f t="shared" ca="1" si="4"/>
        <v>1.9414530061965103</v>
      </c>
      <c r="F14">
        <f t="shared" ca="1" si="5"/>
        <v>3.4486632086193953</v>
      </c>
    </row>
    <row r="15" spans="1:6" x14ac:dyDescent="0.25">
      <c r="A15" t="s">
        <v>14</v>
      </c>
      <c r="B15" t="s">
        <v>56</v>
      </c>
      <c r="C15">
        <f t="shared" ca="1" si="3"/>
        <v>2931</v>
      </c>
      <c r="D15">
        <f t="shared" ca="1" si="3"/>
        <v>2438</v>
      </c>
      <c r="E15">
        <f t="shared" ca="1" si="4"/>
        <v>1.1054460901724605</v>
      </c>
      <c r="F15">
        <f t="shared" ca="1" si="5"/>
        <v>3.5939043868374259</v>
      </c>
    </row>
    <row r="16" spans="1:6" x14ac:dyDescent="0.25">
      <c r="A16" t="s">
        <v>15</v>
      </c>
      <c r="B16" t="s">
        <v>56</v>
      </c>
      <c r="C16">
        <f t="shared" ca="1" si="3"/>
        <v>1800</v>
      </c>
      <c r="D16">
        <f t="shared" ca="1" si="3"/>
        <v>1887</v>
      </c>
      <c r="E16">
        <f t="shared" ca="1" si="4"/>
        <v>1.9321603754906478</v>
      </c>
      <c r="F16">
        <f t="shared" ca="1" si="5"/>
        <v>4.0398933646393607</v>
      </c>
    </row>
    <row r="17" spans="1:6" x14ac:dyDescent="0.25">
      <c r="A17" t="s">
        <v>16</v>
      </c>
      <c r="B17" t="s">
        <v>56</v>
      </c>
      <c r="C17">
        <f t="shared" ca="1" si="3"/>
        <v>1954</v>
      </c>
      <c r="D17">
        <f t="shared" ca="1" si="3"/>
        <v>1891</v>
      </c>
      <c r="E17">
        <f t="shared" ca="1" si="4"/>
        <v>2.8853426959319397</v>
      </c>
      <c r="F17">
        <f t="shared" ca="1" si="5"/>
        <v>3.4827045874241223</v>
      </c>
    </row>
    <row r="18" spans="1:6" x14ac:dyDescent="0.25">
      <c r="A18" t="s">
        <v>17</v>
      </c>
      <c r="B18" t="s">
        <v>56</v>
      </c>
      <c r="C18">
        <f t="shared" ca="1" si="3"/>
        <v>2530</v>
      </c>
      <c r="D18">
        <f t="shared" ca="1" si="3"/>
        <v>2019</v>
      </c>
      <c r="E18">
        <f t="shared" ca="1" si="4"/>
        <v>2.8623090015564294</v>
      </c>
      <c r="F18">
        <f t="shared" ca="1" si="5"/>
        <v>3.6689942185472608</v>
      </c>
    </row>
    <row r="19" spans="1:6" x14ac:dyDescent="0.25">
      <c r="A19" t="s">
        <v>18</v>
      </c>
      <c r="B19" t="s">
        <v>56</v>
      </c>
      <c r="C19">
        <f t="shared" ca="1" si="3"/>
        <v>1738</v>
      </c>
      <c r="D19">
        <f t="shared" ca="1" si="3"/>
        <v>2510</v>
      </c>
      <c r="E19">
        <f t="shared" ca="1" si="4"/>
        <v>1.2016706293358883</v>
      </c>
      <c r="F19">
        <f t="shared" ca="1" si="5"/>
        <v>3.7317620155687625</v>
      </c>
    </row>
    <row r="20" spans="1:6" x14ac:dyDescent="0.25">
      <c r="A20" t="s">
        <v>19</v>
      </c>
      <c r="B20" t="s">
        <v>56</v>
      </c>
      <c r="C20">
        <f t="shared" ca="1" si="3"/>
        <v>2183</v>
      </c>
      <c r="D20">
        <f t="shared" ca="1" si="3"/>
        <v>1650</v>
      </c>
      <c r="E20">
        <f t="shared" ca="1" si="4"/>
        <v>2.0609084636001462</v>
      </c>
      <c r="F20">
        <f t="shared" ca="1" si="5"/>
        <v>3.215431483870093</v>
      </c>
    </row>
    <row r="21" spans="1:6" x14ac:dyDescent="0.25">
      <c r="A21" t="s">
        <v>20</v>
      </c>
      <c r="B21" t="s">
        <v>56</v>
      </c>
      <c r="C21">
        <f ca="1">RANDBETWEEN(1500,3000)</f>
        <v>2170</v>
      </c>
      <c r="D21">
        <f ca="1">RANDBETWEEN(1500,3000)</f>
        <v>1543</v>
      </c>
      <c r="E21">
        <f t="shared" ca="1" si="4"/>
        <v>1.061652334978235</v>
      </c>
      <c r="F21">
        <f t="shared" ca="1" si="5"/>
        <v>4.2359187835807077</v>
      </c>
    </row>
    <row r="22" spans="1:6" x14ac:dyDescent="0.25">
      <c r="A22" t="s">
        <v>21</v>
      </c>
      <c r="B22" t="s">
        <v>57</v>
      </c>
      <c r="C22">
        <f ca="1">RANDBETWEEN(2000,3500)</f>
        <v>2206</v>
      </c>
      <c r="D22">
        <f ca="1">RANDBETWEEN(2000,3500)</f>
        <v>3062</v>
      </c>
      <c r="E22">
        <f ca="1">RAND()*2+1.5</f>
        <v>2.9247446607297114</v>
      </c>
      <c r="F22">
        <f ca="1">RAND()*2+2</f>
        <v>2.5857167927048792</v>
      </c>
    </row>
    <row r="23" spans="1:6" x14ac:dyDescent="0.25">
      <c r="A23" t="s">
        <v>22</v>
      </c>
      <c r="B23" t="s">
        <v>57</v>
      </c>
      <c r="C23">
        <f t="shared" ref="C23:D30" ca="1" si="6">RANDBETWEEN(2000,3500)</f>
        <v>2568</v>
      </c>
      <c r="D23">
        <f t="shared" ca="1" si="6"/>
        <v>2753</v>
      </c>
      <c r="E23">
        <f t="shared" ref="E23:E31" ca="1" si="7">RAND()*2+1.5</f>
        <v>2.1913650654886698</v>
      </c>
      <c r="F23">
        <f t="shared" ref="F23:F31" ca="1" si="8">RAND()*2+2</f>
        <v>3.2733498371460703</v>
      </c>
    </row>
    <row r="24" spans="1:6" x14ac:dyDescent="0.25">
      <c r="A24" t="s">
        <v>23</v>
      </c>
      <c r="B24" t="s">
        <v>57</v>
      </c>
      <c r="C24">
        <f t="shared" ca="1" si="6"/>
        <v>2309</v>
      </c>
      <c r="D24">
        <f t="shared" ca="1" si="6"/>
        <v>2379</v>
      </c>
      <c r="E24">
        <f t="shared" ca="1" si="7"/>
        <v>2.437769351944219</v>
      </c>
      <c r="F24">
        <f t="shared" ca="1" si="8"/>
        <v>3.5543350170566148</v>
      </c>
    </row>
    <row r="25" spans="1:6" x14ac:dyDescent="0.25">
      <c r="A25" t="s">
        <v>24</v>
      </c>
      <c r="B25" t="s">
        <v>57</v>
      </c>
      <c r="C25">
        <f t="shared" ca="1" si="6"/>
        <v>2535</v>
      </c>
      <c r="D25">
        <f t="shared" ca="1" si="6"/>
        <v>2305</v>
      </c>
      <c r="E25">
        <f t="shared" ca="1" si="7"/>
        <v>2.3848549005577224</v>
      </c>
      <c r="F25">
        <f t="shared" ca="1" si="8"/>
        <v>2.4173231963801256</v>
      </c>
    </row>
    <row r="26" spans="1:6" x14ac:dyDescent="0.25">
      <c r="A26" t="s">
        <v>25</v>
      </c>
      <c r="B26" t="s">
        <v>57</v>
      </c>
      <c r="C26">
        <f t="shared" ca="1" si="6"/>
        <v>3278</v>
      </c>
      <c r="D26">
        <f t="shared" ca="1" si="6"/>
        <v>3132</v>
      </c>
      <c r="E26">
        <f t="shared" ca="1" si="7"/>
        <v>2.7446657571184079</v>
      </c>
      <c r="F26">
        <f t="shared" ca="1" si="8"/>
        <v>2.8034384662950256</v>
      </c>
    </row>
    <row r="27" spans="1:6" x14ac:dyDescent="0.25">
      <c r="A27" t="s">
        <v>26</v>
      </c>
      <c r="B27" t="s">
        <v>57</v>
      </c>
      <c r="C27">
        <f t="shared" ca="1" si="6"/>
        <v>3004</v>
      </c>
      <c r="D27">
        <f t="shared" ca="1" si="6"/>
        <v>2872</v>
      </c>
      <c r="E27">
        <f t="shared" ca="1" si="7"/>
        <v>2.4214885540675319</v>
      </c>
      <c r="F27">
        <f t="shared" ca="1" si="8"/>
        <v>3.3453438956664288</v>
      </c>
    </row>
    <row r="28" spans="1:6" x14ac:dyDescent="0.25">
      <c r="A28" t="s">
        <v>27</v>
      </c>
      <c r="B28" t="s">
        <v>57</v>
      </c>
      <c r="C28">
        <f t="shared" ca="1" si="6"/>
        <v>2308</v>
      </c>
      <c r="D28">
        <f t="shared" ca="1" si="6"/>
        <v>2870</v>
      </c>
      <c r="E28">
        <f t="shared" ca="1" si="7"/>
        <v>1.9430395687813957</v>
      </c>
      <c r="F28">
        <f t="shared" ca="1" si="8"/>
        <v>3.289898047153442</v>
      </c>
    </row>
    <row r="29" spans="1:6" x14ac:dyDescent="0.25">
      <c r="A29" t="s">
        <v>28</v>
      </c>
      <c r="B29" t="s">
        <v>57</v>
      </c>
      <c r="C29">
        <f t="shared" ca="1" si="6"/>
        <v>3441</v>
      </c>
      <c r="D29">
        <f t="shared" ca="1" si="6"/>
        <v>3460</v>
      </c>
      <c r="E29">
        <f t="shared" ca="1" si="7"/>
        <v>1.6232743245390266</v>
      </c>
      <c r="F29">
        <f t="shared" ca="1" si="8"/>
        <v>3.9399743254319688</v>
      </c>
    </row>
    <row r="30" spans="1:6" x14ac:dyDescent="0.25">
      <c r="A30" t="s">
        <v>29</v>
      </c>
      <c r="B30" t="s">
        <v>57</v>
      </c>
      <c r="C30">
        <f t="shared" ca="1" si="6"/>
        <v>3245</v>
      </c>
      <c r="D30">
        <f t="shared" ca="1" si="6"/>
        <v>3226</v>
      </c>
      <c r="E30">
        <f t="shared" ca="1" si="7"/>
        <v>2.3612980168054327</v>
      </c>
      <c r="F30">
        <f t="shared" ca="1" si="8"/>
        <v>2.2837356029675471</v>
      </c>
    </row>
    <row r="31" spans="1:6" x14ac:dyDescent="0.25">
      <c r="A31" t="s">
        <v>30</v>
      </c>
      <c r="B31" t="s">
        <v>57</v>
      </c>
      <c r="C31">
        <f ca="1">RANDBETWEEN(2000,3500)</f>
        <v>3024</v>
      </c>
      <c r="D31">
        <f ca="1">RANDBETWEEN(2000,3500)</f>
        <v>3448</v>
      </c>
      <c r="E31">
        <f t="shared" ca="1" si="7"/>
        <v>1.5424961992507171</v>
      </c>
      <c r="F31">
        <f t="shared" ca="1" si="8"/>
        <v>2.1986927463440828</v>
      </c>
    </row>
    <row r="32" spans="1:6" x14ac:dyDescent="0.25">
      <c r="A32" t="s">
        <v>31</v>
      </c>
      <c r="B32" t="s">
        <v>58</v>
      </c>
      <c r="C32">
        <f ca="1">RANDBETWEEN(2500,4000)</f>
        <v>3309</v>
      </c>
      <c r="D32">
        <f ca="1">RANDBETWEEN(2500,4000)</f>
        <v>3060</v>
      </c>
      <c r="E32">
        <f ca="1">RAND()*2+2</f>
        <v>3.2093730110283216</v>
      </c>
      <c r="F32">
        <f ca="1">RAND()*2+1.5</f>
        <v>1.9429081391479026</v>
      </c>
    </row>
    <row r="33" spans="1:6" x14ac:dyDescent="0.25">
      <c r="A33" t="s">
        <v>32</v>
      </c>
      <c r="B33" t="s">
        <v>58</v>
      </c>
      <c r="C33">
        <f t="shared" ref="C33:D40" ca="1" si="9">RANDBETWEEN(2500,4000)</f>
        <v>3429</v>
      </c>
      <c r="D33">
        <f t="shared" ca="1" si="9"/>
        <v>3569</v>
      </c>
      <c r="E33">
        <f t="shared" ref="E33:E40" ca="1" si="10">RAND()*2+2</f>
        <v>3.0637982204989171</v>
      </c>
      <c r="F33">
        <f t="shared" ref="F33:F40" ca="1" si="11">RAND()*2+1.5</f>
        <v>1.7102488476616087</v>
      </c>
    </row>
    <row r="34" spans="1:6" x14ac:dyDescent="0.25">
      <c r="A34" t="s">
        <v>33</v>
      </c>
      <c r="B34" t="s">
        <v>58</v>
      </c>
      <c r="C34">
        <f t="shared" ca="1" si="9"/>
        <v>3637</v>
      </c>
      <c r="D34">
        <f t="shared" ca="1" si="9"/>
        <v>3945</v>
      </c>
      <c r="E34">
        <f t="shared" ca="1" si="10"/>
        <v>2.5743233296216976</v>
      </c>
      <c r="F34">
        <f t="shared" ca="1" si="11"/>
        <v>2.6651886242094629</v>
      </c>
    </row>
    <row r="35" spans="1:6" x14ac:dyDescent="0.25">
      <c r="A35" t="s">
        <v>34</v>
      </c>
      <c r="B35" t="s">
        <v>58</v>
      </c>
      <c r="C35">
        <f t="shared" ca="1" si="9"/>
        <v>2897</v>
      </c>
      <c r="D35">
        <f t="shared" ca="1" si="9"/>
        <v>3197</v>
      </c>
      <c r="E35">
        <f t="shared" ca="1" si="10"/>
        <v>2.7261872510074765</v>
      </c>
      <c r="F35">
        <f t="shared" ca="1" si="11"/>
        <v>3.429692183759204</v>
      </c>
    </row>
    <row r="36" spans="1:6" x14ac:dyDescent="0.25">
      <c r="A36" t="s">
        <v>35</v>
      </c>
      <c r="B36" t="s">
        <v>58</v>
      </c>
      <c r="C36">
        <f t="shared" ca="1" si="9"/>
        <v>3781</v>
      </c>
      <c r="D36">
        <f t="shared" ca="1" si="9"/>
        <v>2719</v>
      </c>
      <c r="E36">
        <f t="shared" ca="1" si="10"/>
        <v>2.4735547537802391</v>
      </c>
      <c r="F36">
        <f t="shared" ca="1" si="11"/>
        <v>2.0288681778984987</v>
      </c>
    </row>
    <row r="37" spans="1:6" x14ac:dyDescent="0.25">
      <c r="A37" t="s">
        <v>36</v>
      </c>
      <c r="B37" t="s">
        <v>58</v>
      </c>
      <c r="C37">
        <f t="shared" ca="1" si="9"/>
        <v>2748</v>
      </c>
      <c r="D37">
        <f t="shared" ca="1" si="9"/>
        <v>3982</v>
      </c>
      <c r="E37">
        <f t="shared" ca="1" si="10"/>
        <v>3.3585259988155807</v>
      </c>
      <c r="F37">
        <f t="shared" ca="1" si="11"/>
        <v>2.8324121928811321</v>
      </c>
    </row>
    <row r="38" spans="1:6" x14ac:dyDescent="0.25">
      <c r="A38" t="s">
        <v>37</v>
      </c>
      <c r="B38" t="s">
        <v>58</v>
      </c>
      <c r="C38">
        <f t="shared" ca="1" si="9"/>
        <v>2619</v>
      </c>
      <c r="D38">
        <f t="shared" ca="1" si="9"/>
        <v>3935</v>
      </c>
      <c r="E38">
        <f t="shared" ca="1" si="10"/>
        <v>2.6296505853336143</v>
      </c>
      <c r="F38">
        <f t="shared" ca="1" si="11"/>
        <v>1.6866282687991871</v>
      </c>
    </row>
    <row r="39" spans="1:6" x14ac:dyDescent="0.25">
      <c r="A39" t="s">
        <v>38</v>
      </c>
      <c r="B39" t="s">
        <v>58</v>
      </c>
      <c r="C39">
        <f t="shared" ca="1" si="9"/>
        <v>3188</v>
      </c>
      <c r="D39">
        <f t="shared" ca="1" si="9"/>
        <v>3325</v>
      </c>
      <c r="E39">
        <f t="shared" ca="1" si="10"/>
        <v>2.0417400746301557</v>
      </c>
      <c r="F39">
        <f t="shared" ca="1" si="11"/>
        <v>2.1777096096720503</v>
      </c>
    </row>
    <row r="40" spans="1:6" x14ac:dyDescent="0.25">
      <c r="A40" t="s">
        <v>39</v>
      </c>
      <c r="B40" t="s">
        <v>58</v>
      </c>
      <c r="C40">
        <f t="shared" ca="1" si="9"/>
        <v>2599</v>
      </c>
      <c r="D40">
        <f t="shared" ca="1" si="9"/>
        <v>3114</v>
      </c>
      <c r="E40">
        <f t="shared" ca="1" si="10"/>
        <v>2.8065063533117929</v>
      </c>
      <c r="F40">
        <f t="shared" ca="1" si="11"/>
        <v>2.9519788793453414</v>
      </c>
    </row>
    <row r="41" spans="1:6" x14ac:dyDescent="0.25">
      <c r="A41" t="s">
        <v>40</v>
      </c>
      <c r="B41" t="s">
        <v>61</v>
      </c>
      <c r="C41">
        <f ca="1">RANDBETWEEN(3000,4500)</f>
        <v>3080</v>
      </c>
      <c r="D41">
        <f ca="1">RANDBETWEEN(3000,4500)</f>
        <v>3071</v>
      </c>
      <c r="E41">
        <f ca="1">RAND()*2+2.5</f>
        <v>3.2159245006287658</v>
      </c>
      <c r="F41">
        <f ca="1">RAND()*2+0.5</f>
        <v>1.4966676620794193</v>
      </c>
    </row>
    <row r="42" spans="1:6" x14ac:dyDescent="0.25">
      <c r="A42" t="s">
        <v>41</v>
      </c>
      <c r="B42" t="s">
        <v>59</v>
      </c>
      <c r="C42">
        <f t="shared" ref="C42:D51" ca="1" si="12">RANDBETWEEN(3000,4500)</f>
        <v>4212</v>
      </c>
      <c r="D42">
        <f t="shared" ca="1" si="12"/>
        <v>3921</v>
      </c>
      <c r="E42">
        <f t="shared" ref="E42:E51" ca="1" si="13">RAND()*2+2.5</f>
        <v>3.3573206176540893</v>
      </c>
      <c r="F42">
        <f t="shared" ref="F42:F51" ca="1" si="14">RAND()*2+0.5</f>
        <v>1.8390946631600738</v>
      </c>
    </row>
    <row r="43" spans="1:6" x14ac:dyDescent="0.25">
      <c r="A43" t="s">
        <v>42</v>
      </c>
      <c r="B43" t="s">
        <v>59</v>
      </c>
      <c r="C43">
        <f t="shared" ca="1" si="12"/>
        <v>4449</v>
      </c>
      <c r="D43">
        <f t="shared" ca="1" si="12"/>
        <v>3195</v>
      </c>
      <c r="E43">
        <f t="shared" ca="1" si="13"/>
        <v>4.0707293247509533</v>
      </c>
      <c r="F43">
        <f t="shared" ca="1" si="14"/>
        <v>1.1887149735536873</v>
      </c>
    </row>
    <row r="44" spans="1:6" x14ac:dyDescent="0.25">
      <c r="A44" t="s">
        <v>43</v>
      </c>
      <c r="B44" t="s">
        <v>59</v>
      </c>
      <c r="C44">
        <f t="shared" ca="1" si="12"/>
        <v>3959</v>
      </c>
      <c r="D44">
        <f t="shared" ca="1" si="12"/>
        <v>3539</v>
      </c>
      <c r="E44">
        <f t="shared" ca="1" si="13"/>
        <v>2.5964326525483195</v>
      </c>
      <c r="F44">
        <f t="shared" ca="1" si="14"/>
        <v>2.4731016894325202</v>
      </c>
    </row>
    <row r="45" spans="1:6" x14ac:dyDescent="0.25">
      <c r="A45" t="s">
        <v>44</v>
      </c>
      <c r="B45" t="s">
        <v>59</v>
      </c>
      <c r="C45">
        <f t="shared" ca="1" si="12"/>
        <v>3417</v>
      </c>
      <c r="D45">
        <f t="shared" ca="1" si="12"/>
        <v>3984</v>
      </c>
      <c r="E45">
        <f t="shared" ca="1" si="13"/>
        <v>2.6597589746898893</v>
      </c>
      <c r="F45">
        <f t="shared" ca="1" si="14"/>
        <v>1.711847780463996</v>
      </c>
    </row>
    <row r="46" spans="1:6" x14ac:dyDescent="0.25">
      <c r="A46" t="s">
        <v>45</v>
      </c>
      <c r="B46" t="s">
        <v>59</v>
      </c>
      <c r="C46">
        <f t="shared" ca="1" si="12"/>
        <v>4488</v>
      </c>
      <c r="D46">
        <f t="shared" ca="1" si="12"/>
        <v>4283</v>
      </c>
      <c r="E46">
        <f t="shared" ca="1" si="13"/>
        <v>3.7510048521657762</v>
      </c>
      <c r="F46">
        <f t="shared" ca="1" si="14"/>
        <v>0.82328986910527902</v>
      </c>
    </row>
    <row r="47" spans="1:6" x14ac:dyDescent="0.25">
      <c r="A47" t="s">
        <v>46</v>
      </c>
      <c r="B47" t="s">
        <v>59</v>
      </c>
      <c r="C47">
        <f t="shared" ca="1" si="12"/>
        <v>3670</v>
      </c>
      <c r="D47">
        <f t="shared" ca="1" si="12"/>
        <v>4416</v>
      </c>
      <c r="E47">
        <f t="shared" ca="1" si="13"/>
        <v>2.5051430991476931</v>
      </c>
      <c r="F47">
        <f t="shared" ca="1" si="14"/>
        <v>1.7469008691780015</v>
      </c>
    </row>
    <row r="48" spans="1:6" x14ac:dyDescent="0.25">
      <c r="A48" t="s">
        <v>47</v>
      </c>
      <c r="B48" t="s">
        <v>59</v>
      </c>
      <c r="C48">
        <f t="shared" ca="1" si="12"/>
        <v>3087</v>
      </c>
      <c r="D48">
        <f t="shared" ca="1" si="12"/>
        <v>3399</v>
      </c>
      <c r="E48">
        <f t="shared" ca="1" si="13"/>
        <v>3.0833807626171659</v>
      </c>
      <c r="F48">
        <f t="shared" ca="1" si="14"/>
        <v>0.99297909595253464</v>
      </c>
    </row>
    <row r="49" spans="1:6" x14ac:dyDescent="0.25">
      <c r="A49" t="s">
        <v>48</v>
      </c>
      <c r="B49" t="s">
        <v>59</v>
      </c>
      <c r="C49">
        <f t="shared" ca="1" si="12"/>
        <v>4020</v>
      </c>
      <c r="D49">
        <f t="shared" ca="1" si="12"/>
        <v>3953</v>
      </c>
      <c r="E49">
        <f t="shared" ca="1" si="13"/>
        <v>3.7322552585816871</v>
      </c>
      <c r="F49">
        <f t="shared" ca="1" si="14"/>
        <v>2.3831292302739731</v>
      </c>
    </row>
    <row r="50" spans="1:6" x14ac:dyDescent="0.25">
      <c r="A50" t="s">
        <v>49</v>
      </c>
      <c r="B50" t="s">
        <v>59</v>
      </c>
      <c r="C50">
        <f t="shared" ca="1" si="12"/>
        <v>4169</v>
      </c>
      <c r="D50">
        <f t="shared" ca="1" si="12"/>
        <v>3660</v>
      </c>
      <c r="E50">
        <f t="shared" ca="1" si="13"/>
        <v>3.9156522691060607</v>
      </c>
      <c r="F50">
        <f t="shared" ca="1" si="14"/>
        <v>1.2505003047008778</v>
      </c>
    </row>
    <row r="51" spans="1:6" x14ac:dyDescent="0.25">
      <c r="A51" t="s">
        <v>50</v>
      </c>
      <c r="B51" t="s">
        <v>59</v>
      </c>
      <c r="C51">
        <f t="shared" ca="1" si="12"/>
        <v>3220</v>
      </c>
      <c r="D51">
        <f t="shared" ca="1" si="12"/>
        <v>3379</v>
      </c>
      <c r="E51">
        <f t="shared" ca="1" si="13"/>
        <v>3.5459285324323995</v>
      </c>
      <c r="F51">
        <f t="shared" ca="1" si="14"/>
        <v>1.5507181098371305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2024-01-20T11:32:35Z</dcterms:modified>
</cp:coreProperties>
</file>